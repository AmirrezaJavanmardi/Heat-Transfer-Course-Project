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ni\6th-semester\انتقال 1\پروژه ی درس انتقال حرارت\section 1.1\"/>
    </mc:Choice>
  </mc:AlternateContent>
  <xr:revisionPtr revIDLastSave="0" documentId="13_ncr:1_{BB281594-65D0-41D3-BE1A-3425C84DAC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2" i="1"/>
  <c r="N3" i="1"/>
  <c r="N4" i="1"/>
  <c r="N5" i="1"/>
  <c r="N6" i="1"/>
  <c r="N7" i="1"/>
  <c r="N8" i="1"/>
  <c r="N9" i="1"/>
  <c r="N10" i="1"/>
  <c r="N2" i="1"/>
  <c r="M3" i="1"/>
  <c r="M4" i="1"/>
  <c r="M5" i="1"/>
  <c r="M6" i="1"/>
  <c r="M7" i="1"/>
  <c r="M8" i="1"/>
  <c r="M9" i="1"/>
  <c r="M10" i="1"/>
  <c r="M2" i="1"/>
  <c r="J3" i="1"/>
  <c r="J4" i="1"/>
  <c r="J5" i="1"/>
  <c r="J6" i="1"/>
  <c r="J7" i="1"/>
  <c r="J8" i="1"/>
  <c r="J9" i="1"/>
  <c r="J10" i="1"/>
  <c r="J2" i="1"/>
  <c r="I3" i="1"/>
  <c r="I4" i="1"/>
  <c r="I5" i="1"/>
  <c r="I6" i="1"/>
  <c r="I7" i="1"/>
  <c r="I8" i="1"/>
  <c r="I9" i="1"/>
  <c r="I10" i="1"/>
  <c r="I2" i="1"/>
  <c r="F3" i="1"/>
  <c r="F4" i="1"/>
  <c r="F5" i="1"/>
  <c r="F6" i="1"/>
  <c r="F7" i="1"/>
  <c r="F8" i="1"/>
  <c r="F9" i="1"/>
  <c r="F10" i="1"/>
  <c r="F2" i="1"/>
  <c r="E3" i="1"/>
  <c r="E4" i="1"/>
  <c r="E5" i="1"/>
  <c r="E6" i="1"/>
  <c r="E7" i="1"/>
  <c r="E8" i="1"/>
  <c r="E9" i="1"/>
  <c r="E10" i="1"/>
  <c r="E2" i="1"/>
  <c r="D3" i="1"/>
  <c r="D4" i="1"/>
  <c r="D5" i="1"/>
  <c r="D6" i="1"/>
  <c r="D7" i="1"/>
  <c r="D8" i="1"/>
  <c r="D9" i="1"/>
  <c r="D10" i="1"/>
  <c r="D2" i="1"/>
  <c r="C3" i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<sst xmlns="http://schemas.openxmlformats.org/spreadsheetml/2006/main" count="17" uniqueCount="14">
  <si>
    <t>h</t>
  </si>
  <si>
    <t>k</t>
  </si>
  <si>
    <t xml:space="preserve">m </t>
  </si>
  <si>
    <t>efficiency(%)</t>
  </si>
  <si>
    <t>q_fin</t>
  </si>
  <si>
    <t>P = pi * D</t>
  </si>
  <si>
    <t>A_c = pi*D**2/4</t>
  </si>
  <si>
    <t>effectiveness</t>
  </si>
  <si>
    <t>L</t>
  </si>
  <si>
    <t>D</t>
  </si>
  <si>
    <t>mL = λ</t>
  </si>
  <si>
    <t>2λ</t>
  </si>
  <si>
    <t>I1(2λ)</t>
  </si>
  <si>
    <t>I2(2λ)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</si>
</sst>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 efficiency</a:t>
            </a:r>
          </a:p>
        </c:rich>
      </c:tx>
      <c:layout>
        <c:manualLayout>
          <c:xMode val="edge"/>
          <c:yMode val="edge"/>
          <c:x val="0.35817344706911636"/>
          <c:y val="2.32288037166085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48381452318461"/>
          <c:y val="0.13572395128552101"/>
          <c:w val="0.84396062992125986"/>
          <c:h val="0.6676171576113961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7.5000000000000108E-2"/>
                  <c:y val="-2.71002710027100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1F-4860-9A77-EAAA15D5DD26}"/>
                </c:ext>
              </c:extLst>
            </c:dLbl>
            <c:dLbl>
              <c:idx val="7"/>
              <c:layout>
                <c:manualLayout>
                  <c:x val="3.0555555555555555E-2"/>
                  <c:y val="-1.93573364305071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C3-4048-8F73-2B8B50520C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Sheet1!$D$2:$D$10</c:f>
              <c:numCache>
                <c:formatCode>General</c:formatCode>
                <c:ptCount val="9"/>
                <c:pt idx="0">
                  <c:v>76.710983122816927</c:v>
                </c:pt>
                <c:pt idx="1">
                  <c:v>32.013920727917395</c:v>
                </c:pt>
                <c:pt idx="2">
                  <c:v>10.163945294421303</c:v>
                </c:pt>
                <c:pt idx="3">
                  <c:v>96.89355950282534</c:v>
                </c:pt>
                <c:pt idx="4">
                  <c:v>76.710983122816927</c:v>
                </c:pt>
                <c:pt idx="5">
                  <c:v>32.013920727917395</c:v>
                </c:pt>
                <c:pt idx="6">
                  <c:v>99.678577822660969</c:v>
                </c:pt>
                <c:pt idx="7">
                  <c:v>96.89355950282534</c:v>
                </c:pt>
                <c:pt idx="8">
                  <c:v>76.710983122816927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F-4860-9A77-EAAA15D5D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3772208"/>
        <c:axId val="1353773040"/>
      </c:barChart>
      <c:catAx>
        <c:axId val="1353772208"/>
        <c:scaling>
          <c:orientation val="minMax"/>
        </c:scaling>
        <c:delete val="1"/>
        <c:axPos val="b"/>
        <c:numFmt formatCode="#,##0;\-#,##0" sourceLinked="0"/>
        <c:majorTickMark val="none"/>
        <c:minorTickMark val="none"/>
        <c:tickLblPos val="nextTo"/>
        <c:crossAx val="1353773040"/>
        <c:crosses val="autoZero"/>
        <c:auto val="1"/>
        <c:lblAlgn val="ctr"/>
        <c:lblOffset val="100"/>
        <c:noMultiLvlLbl val="0"/>
      </c:catAx>
      <c:valAx>
        <c:axId val="135377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77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287654</xdr:colOff>
      <xdr:row>12</xdr:row>
      <xdr:rowOff>76200</xdr:rowOff>
    </xdr:from>
    <xdr:to>
      <xdr:col>15</xdr:col>
      <xdr:colOff>0</xdr:colOff>
      <xdr:row>30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BAE6E9-EEA2-4343-AF87-C1DC9C298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0.16333</cdr:x>
      <cdr:y>0.72125</cdr:y>
    </cdr:from>
    <cdr:to>
      <cdr:x>0.36333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12FE5C6-AC6F-4B0A-981E-6C7340533CFA}"/>
            </a:ext>
          </a:extLst>
        </cdr:cNvPr>
        <cdr:cNvSpPr txBox="1"/>
      </cdr:nvSpPr>
      <cdr:spPr>
        <a:xfrm xmlns:a="http://schemas.openxmlformats.org/drawingml/2006/main">
          <a:off x="746760" y="29146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0.21167</cdr:x>
      <cdr:y>0.87921</cdr:y>
    </cdr:from>
    <cdr:to>
      <cdr:x>0.41167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796CE21-ACAA-4AC0-90CB-29A0F7ED376F}"/>
            </a:ext>
          </a:extLst>
        </cdr:cNvPr>
        <cdr:cNvSpPr txBox="1"/>
      </cdr:nvSpPr>
      <cdr:spPr>
        <a:xfrm xmlns:a="http://schemas.openxmlformats.org/drawingml/2006/main">
          <a:off x="967740" y="2884170"/>
          <a:ext cx="914400" cy="3962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0.13</cdr:x>
      <cdr:y>0.79443</cdr:y>
    </cdr:from>
    <cdr:to>
      <cdr:x>0.22667</cdr:x>
      <cdr:y>0.9547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6BFBB9CA-C3DC-402C-9742-D014F440B327}"/>
            </a:ext>
          </a:extLst>
        </cdr:cNvPr>
        <cdr:cNvSpPr txBox="1"/>
      </cdr:nvSpPr>
      <cdr:spPr>
        <a:xfrm xmlns:a="http://schemas.openxmlformats.org/drawingml/2006/main">
          <a:off x="594360" y="2606040"/>
          <a:ext cx="441960" cy="5257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/>
            <a:t>h=1</a:t>
          </a:r>
        </a:p>
        <a:p xmlns:a="http://schemas.openxmlformats.org/drawingml/2006/main">
          <a:r>
            <a:rPr lang="en-US" sz="1000"/>
            <a:t>k=5</a:t>
          </a:r>
        </a:p>
      </cdr:txBody>
    </cdr:sp>
  </cdr:relSizeAnchor>
  <cdr:relSizeAnchor xmlns:cdr="http://schemas.openxmlformats.org/drawingml/2006/chartDrawing">
    <cdr:from>
      <cdr:x>0.225</cdr:x>
      <cdr:y>0.7921</cdr:y>
    </cdr:from>
    <cdr:to>
      <cdr:x>0.33667</cdr:x>
      <cdr:y>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1A251DE-F2B9-4BFC-8979-D7706B1F9955}"/>
            </a:ext>
          </a:extLst>
        </cdr:cNvPr>
        <cdr:cNvSpPr txBox="1"/>
      </cdr:nvSpPr>
      <cdr:spPr>
        <a:xfrm xmlns:a="http://schemas.openxmlformats.org/drawingml/2006/main">
          <a:off x="1028700" y="2598420"/>
          <a:ext cx="510540" cy="6819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effectLst/>
              <a:latin typeface="+mn-lt"/>
              <a:ea typeface="+mn-ea"/>
              <a:cs typeface="+mn-cs"/>
            </a:rPr>
            <a:t>h=10</a:t>
          </a:r>
          <a:endParaRPr lang="en-US" sz="1000">
            <a:effectLst/>
          </a:endParaRPr>
        </a:p>
        <a:p xmlns:a="http://schemas.openxmlformats.org/drawingml/2006/main">
          <a:r>
            <a:rPr lang="en-US" sz="1000">
              <a:effectLst/>
              <a:latin typeface="+mn-lt"/>
              <a:ea typeface="+mn-ea"/>
              <a:cs typeface="+mn-cs"/>
            </a:rPr>
            <a:t>k=5</a:t>
          </a:r>
          <a:endParaRPr lang="en-US" sz="1000">
            <a:effectLst/>
          </a:endParaRPr>
        </a:p>
        <a:p xmlns:a="http://schemas.openxmlformats.org/drawingml/2006/main">
          <a:endParaRPr lang="en-US" sz="1000"/>
        </a:p>
      </cdr:txBody>
    </cdr:sp>
  </cdr:relSizeAnchor>
  <cdr:relSizeAnchor xmlns:cdr="http://schemas.openxmlformats.org/drawingml/2006/chartDrawing">
    <cdr:from>
      <cdr:x>0.31833</cdr:x>
      <cdr:y>0.7921</cdr:y>
    </cdr:from>
    <cdr:to>
      <cdr:x>0.44667</cdr:x>
      <cdr:y>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4C5E87F-A5B7-4FFC-B677-727C505B9644}"/>
            </a:ext>
          </a:extLst>
        </cdr:cNvPr>
        <cdr:cNvSpPr txBox="1"/>
      </cdr:nvSpPr>
      <cdr:spPr>
        <a:xfrm xmlns:a="http://schemas.openxmlformats.org/drawingml/2006/main">
          <a:off x="1455420" y="2598420"/>
          <a:ext cx="586740" cy="6819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effectLst/>
              <a:latin typeface="+mn-lt"/>
              <a:ea typeface="+mn-ea"/>
              <a:cs typeface="+mn-cs"/>
            </a:rPr>
            <a:t>h=100</a:t>
          </a:r>
          <a:endParaRPr lang="en-US" sz="1000">
            <a:effectLst/>
          </a:endParaRPr>
        </a:p>
        <a:p xmlns:a="http://schemas.openxmlformats.org/drawingml/2006/main">
          <a:r>
            <a:rPr lang="en-US" sz="1000">
              <a:effectLst/>
              <a:latin typeface="+mn-lt"/>
              <a:ea typeface="+mn-ea"/>
              <a:cs typeface="+mn-cs"/>
            </a:rPr>
            <a:t>k=5</a:t>
          </a:r>
          <a:endParaRPr lang="en-US" sz="1000">
            <a:effectLst/>
          </a:endParaRPr>
        </a:p>
        <a:p xmlns:a="http://schemas.openxmlformats.org/drawingml/2006/main">
          <a:endParaRPr lang="en-US" sz="1000"/>
        </a:p>
      </cdr:txBody>
    </cdr:sp>
  </cdr:relSizeAnchor>
  <cdr:relSizeAnchor xmlns:cdr="http://schemas.openxmlformats.org/drawingml/2006/chartDrawing">
    <cdr:from>
      <cdr:x>0.415</cdr:x>
      <cdr:y>0.78978</cdr:y>
    </cdr:from>
    <cdr:to>
      <cdr:x>0.5</cdr:x>
      <cdr:y>1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89F2CEA9-16AF-4A6F-BD7C-B4284B895879}"/>
            </a:ext>
          </a:extLst>
        </cdr:cNvPr>
        <cdr:cNvSpPr txBox="1"/>
      </cdr:nvSpPr>
      <cdr:spPr>
        <a:xfrm xmlns:a="http://schemas.openxmlformats.org/drawingml/2006/main">
          <a:off x="1897380" y="2590800"/>
          <a:ext cx="388620" cy="6896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effectLst/>
              <a:latin typeface="+mn-lt"/>
              <a:ea typeface="+mn-ea"/>
              <a:cs typeface="+mn-cs"/>
            </a:rPr>
            <a:t>h=1</a:t>
          </a:r>
          <a:endParaRPr lang="en-US" sz="1000">
            <a:effectLst/>
          </a:endParaRPr>
        </a:p>
        <a:p xmlns:a="http://schemas.openxmlformats.org/drawingml/2006/main">
          <a:r>
            <a:rPr lang="en-US" sz="1000">
              <a:effectLst/>
              <a:latin typeface="+mn-lt"/>
              <a:ea typeface="+mn-ea"/>
              <a:cs typeface="+mn-cs"/>
            </a:rPr>
            <a:t>k=50</a:t>
          </a:r>
          <a:endParaRPr lang="en-US" sz="1000">
            <a:effectLst/>
          </a:endParaRPr>
        </a:p>
        <a:p xmlns:a="http://schemas.openxmlformats.org/drawingml/2006/main">
          <a:endParaRPr lang="en-US" sz="1000"/>
        </a:p>
      </cdr:txBody>
    </cdr:sp>
  </cdr:relSizeAnchor>
  <cdr:relSizeAnchor xmlns:cdr="http://schemas.openxmlformats.org/drawingml/2006/chartDrawing">
    <cdr:from>
      <cdr:x>0.50667</cdr:x>
      <cdr:y>0.78746</cdr:y>
    </cdr:from>
    <cdr:to>
      <cdr:x>0.63</cdr:x>
      <cdr:y>1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AA8DC03A-DDF5-4BBE-AA13-4E17F6E65ADC}"/>
            </a:ext>
          </a:extLst>
        </cdr:cNvPr>
        <cdr:cNvSpPr txBox="1"/>
      </cdr:nvSpPr>
      <cdr:spPr>
        <a:xfrm xmlns:a="http://schemas.openxmlformats.org/drawingml/2006/main">
          <a:off x="2316480" y="2583180"/>
          <a:ext cx="563880" cy="6972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effectLst/>
              <a:latin typeface="+mn-lt"/>
              <a:ea typeface="+mn-ea"/>
              <a:cs typeface="+mn-cs"/>
            </a:rPr>
            <a:t>h=10</a:t>
          </a:r>
          <a:endParaRPr lang="en-US" sz="1000">
            <a:effectLst/>
          </a:endParaRPr>
        </a:p>
        <a:p xmlns:a="http://schemas.openxmlformats.org/drawingml/2006/main">
          <a:r>
            <a:rPr lang="en-US" sz="1000">
              <a:effectLst/>
              <a:latin typeface="+mn-lt"/>
              <a:ea typeface="+mn-ea"/>
              <a:cs typeface="+mn-cs"/>
            </a:rPr>
            <a:t>k=50</a:t>
          </a:r>
          <a:endParaRPr lang="en-US" sz="1000">
            <a:effectLst/>
          </a:endParaRPr>
        </a:p>
        <a:p xmlns:a="http://schemas.openxmlformats.org/drawingml/2006/main">
          <a:endParaRPr lang="en-US" sz="1000"/>
        </a:p>
      </cdr:txBody>
    </cdr:sp>
  </cdr:relSizeAnchor>
  <cdr:relSizeAnchor xmlns:cdr="http://schemas.openxmlformats.org/drawingml/2006/chartDrawing">
    <cdr:from>
      <cdr:x>0.635</cdr:x>
      <cdr:y>0.79443</cdr:y>
    </cdr:from>
    <cdr:to>
      <cdr:x>0.835</cdr:x>
      <cdr:y>1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C0F62824-8ABE-4636-BBF5-7E04175D08AD}"/>
            </a:ext>
          </a:extLst>
        </cdr:cNvPr>
        <cdr:cNvSpPr txBox="1"/>
      </cdr:nvSpPr>
      <cdr:spPr>
        <a:xfrm xmlns:a="http://schemas.openxmlformats.org/drawingml/2006/main">
          <a:off x="2903220" y="2606040"/>
          <a:ext cx="914400" cy="6743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0.59833</cdr:x>
      <cdr:y>0.7921</cdr:y>
    </cdr:from>
    <cdr:to>
      <cdr:x>0.72</cdr:x>
      <cdr:y>1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66BA0017-E37A-4773-A983-AC123C63D15F}"/>
            </a:ext>
          </a:extLst>
        </cdr:cNvPr>
        <cdr:cNvSpPr txBox="1"/>
      </cdr:nvSpPr>
      <cdr:spPr>
        <a:xfrm xmlns:a="http://schemas.openxmlformats.org/drawingml/2006/main">
          <a:off x="2735580" y="2598420"/>
          <a:ext cx="556260" cy="6819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effectLst/>
              <a:latin typeface="+mn-lt"/>
              <a:ea typeface="+mn-ea"/>
              <a:cs typeface="+mn-cs"/>
            </a:rPr>
            <a:t>h=100</a:t>
          </a:r>
          <a:endParaRPr lang="en-US" sz="1000">
            <a:effectLst/>
          </a:endParaRPr>
        </a:p>
        <a:p xmlns:a="http://schemas.openxmlformats.org/drawingml/2006/main">
          <a:r>
            <a:rPr lang="en-US" sz="1000">
              <a:effectLst/>
              <a:latin typeface="+mn-lt"/>
              <a:ea typeface="+mn-ea"/>
              <a:cs typeface="+mn-cs"/>
            </a:rPr>
            <a:t>k=50</a:t>
          </a:r>
          <a:endParaRPr lang="en-US" sz="1000">
            <a:effectLst/>
          </a:endParaRPr>
        </a:p>
        <a:p xmlns:a="http://schemas.openxmlformats.org/drawingml/2006/main">
          <a:endParaRPr lang="en-US" sz="1000"/>
        </a:p>
      </cdr:txBody>
    </cdr:sp>
  </cdr:relSizeAnchor>
  <cdr:relSizeAnchor xmlns:cdr="http://schemas.openxmlformats.org/drawingml/2006/chartDrawing">
    <cdr:from>
      <cdr:x>0.69333</cdr:x>
      <cdr:y>0.78978</cdr:y>
    </cdr:from>
    <cdr:to>
      <cdr:x>0.81167</cdr:x>
      <cdr:y>1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94A0F28F-DC11-448E-A627-10BC9F7E1277}"/>
            </a:ext>
          </a:extLst>
        </cdr:cNvPr>
        <cdr:cNvSpPr txBox="1"/>
      </cdr:nvSpPr>
      <cdr:spPr>
        <a:xfrm xmlns:a="http://schemas.openxmlformats.org/drawingml/2006/main">
          <a:off x="3169920" y="2590800"/>
          <a:ext cx="541020" cy="6896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effectLst/>
              <a:latin typeface="+mn-lt"/>
              <a:ea typeface="+mn-ea"/>
              <a:cs typeface="+mn-cs"/>
            </a:rPr>
            <a:t>h=1</a:t>
          </a:r>
          <a:endParaRPr lang="en-US" sz="1000">
            <a:effectLst/>
          </a:endParaRPr>
        </a:p>
        <a:p xmlns:a="http://schemas.openxmlformats.org/drawingml/2006/main">
          <a:r>
            <a:rPr lang="en-US" sz="1000">
              <a:effectLst/>
              <a:latin typeface="+mn-lt"/>
              <a:ea typeface="+mn-ea"/>
              <a:cs typeface="+mn-cs"/>
            </a:rPr>
            <a:t>k=500</a:t>
          </a:r>
          <a:endParaRPr lang="en-US" sz="1000">
            <a:effectLst/>
          </a:endParaRPr>
        </a:p>
        <a:p xmlns:a="http://schemas.openxmlformats.org/drawingml/2006/main">
          <a:endParaRPr lang="en-US" sz="1000"/>
        </a:p>
      </cdr:txBody>
    </cdr:sp>
  </cdr:relSizeAnchor>
  <cdr:relSizeAnchor xmlns:cdr="http://schemas.openxmlformats.org/drawingml/2006/chartDrawing">
    <cdr:from>
      <cdr:x>0.8</cdr:x>
      <cdr:y>0.72125</cdr:y>
    </cdr:from>
    <cdr:to>
      <cdr:x>1</cdr:x>
      <cdr:y>1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F7FD29B0-63A6-429F-8D09-628B8D26FE38}"/>
            </a:ext>
          </a:extLst>
        </cdr:cNvPr>
        <cdr:cNvSpPr txBox="1"/>
      </cdr:nvSpPr>
      <cdr:spPr>
        <a:xfrm xmlns:a="http://schemas.openxmlformats.org/drawingml/2006/main">
          <a:off x="3794760" y="284226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0.78833</cdr:x>
      <cdr:y>0.78746</cdr:y>
    </cdr:from>
    <cdr:to>
      <cdr:x>1</cdr:x>
      <cdr:y>1</cdr:y>
    </cdr:to>
    <cdr:sp macro="" textlink="">
      <cdr:nvSpPr>
        <cdr:cNvPr id="13" name="TextBox 12">
          <a:extLst xmlns:a="http://schemas.openxmlformats.org/drawingml/2006/main">
            <a:ext uri="{FF2B5EF4-FFF2-40B4-BE49-F238E27FC236}">
              <a16:creationId xmlns:a16="http://schemas.microsoft.com/office/drawing/2014/main" id="{E2D39E7D-61DD-4049-9397-E8F3521F28F4}"/>
            </a:ext>
          </a:extLst>
        </cdr:cNvPr>
        <cdr:cNvSpPr txBox="1"/>
      </cdr:nvSpPr>
      <cdr:spPr>
        <a:xfrm xmlns:a="http://schemas.openxmlformats.org/drawingml/2006/main">
          <a:off x="3604260" y="2583180"/>
          <a:ext cx="967740" cy="6972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effectLst/>
              <a:latin typeface="+mn-lt"/>
              <a:ea typeface="+mn-ea"/>
              <a:cs typeface="+mn-cs"/>
            </a:rPr>
            <a:t>h=10</a:t>
          </a:r>
          <a:endParaRPr lang="en-US" sz="1000">
            <a:effectLst/>
          </a:endParaRPr>
        </a:p>
        <a:p xmlns:a="http://schemas.openxmlformats.org/drawingml/2006/main">
          <a:r>
            <a:rPr lang="en-US" sz="1000">
              <a:effectLst/>
              <a:latin typeface="+mn-lt"/>
              <a:ea typeface="+mn-ea"/>
              <a:cs typeface="+mn-cs"/>
            </a:rPr>
            <a:t>k=500</a:t>
          </a:r>
          <a:endParaRPr lang="en-US" sz="1000">
            <a:effectLst/>
          </a:endParaRPr>
        </a:p>
        <a:p xmlns:a="http://schemas.openxmlformats.org/drawingml/2006/main">
          <a:endParaRPr lang="en-US" sz="1000"/>
        </a:p>
      </cdr:txBody>
    </cdr:sp>
  </cdr:relSizeAnchor>
  <cdr:relSizeAnchor xmlns:cdr="http://schemas.openxmlformats.org/drawingml/2006/chartDrawing">
    <cdr:from>
      <cdr:x>0.88</cdr:x>
      <cdr:y>0.78746</cdr:y>
    </cdr:from>
    <cdr:to>
      <cdr:x>0.97667</cdr:x>
      <cdr:y>0.9547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A30445B4-7F99-47C6-B08E-7A15B9EE452B}"/>
            </a:ext>
          </a:extLst>
        </cdr:cNvPr>
        <cdr:cNvSpPr txBox="1"/>
      </cdr:nvSpPr>
      <cdr:spPr>
        <a:xfrm xmlns:a="http://schemas.openxmlformats.org/drawingml/2006/main">
          <a:off x="4023360" y="2583180"/>
          <a:ext cx="441960" cy="5486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effectLst/>
              <a:latin typeface="+mn-lt"/>
              <a:ea typeface="+mn-ea"/>
              <a:cs typeface="+mn-cs"/>
            </a:rPr>
            <a:t>h=100</a:t>
          </a:r>
          <a:endParaRPr lang="en-US" sz="1000">
            <a:effectLst/>
          </a:endParaRPr>
        </a:p>
        <a:p xmlns:a="http://schemas.openxmlformats.org/drawingml/2006/main">
          <a:r>
            <a:rPr lang="en-US" sz="1000">
              <a:effectLst/>
              <a:latin typeface="+mn-lt"/>
              <a:ea typeface="+mn-ea"/>
              <a:cs typeface="+mn-cs"/>
            </a:rPr>
            <a:t>k=500</a:t>
          </a:r>
          <a:endParaRPr lang="en-US" sz="1000">
            <a:effectLst/>
          </a:endParaRPr>
        </a:p>
        <a:p xmlns:a="http://schemas.openxmlformats.org/drawingml/2006/main">
          <a:endParaRPr lang="en-US" sz="10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zoomScale="80" workbookViewId="0">
      <selection activeCell="S25" sqref="S25"/>
    </sheetView>
  </sheetViews>
  <sheetFormatPr defaultRowHeight="14.4" x14ac:dyDescent="0.3"/>
  <cols>
    <col min="1" max="1" width="12" bestFit="1" customWidth="1"/>
    <col min="2" max="2" width="14.5546875" bestFit="1" customWidth="1"/>
    <col min="3" max="3" width="12" bestFit="1" customWidth="1"/>
    <col min="4" max="4" width="12.33203125" bestFit="1" customWidth="1"/>
    <col min="5" max="5" width="12" bestFit="1" customWidth="1"/>
    <col min="6" max="6" width="12.77734375" bestFit="1" customWidth="1"/>
    <col min="9" max="13" width="12" bestFit="1" customWidth="1"/>
    <col min="14" max="14" width="12.33203125" bestFit="1" customWidth="1"/>
    <col min="15" max="15" width="12.77734375" bestFit="1" customWidth="1"/>
  </cols>
  <sheetData>
    <row r="1" spans="1:15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7</v>
      </c>
      <c r="I1" s="1" t="s">
        <v>10</v>
      </c>
      <c r="J1" s="1" t="s">
        <v>11</v>
      </c>
      <c r="K1" s="1" t="s">
        <v>12</v>
      </c>
      <c r="L1" t="s">
        <v>13</v>
      </c>
      <c r="M1" s="1" t="s">
        <v>4</v>
      </c>
      <c r="N1" t="s">
        <v>3</v>
      </c>
      <c r="O1" s="1" t="s">
        <v>7</v>
      </c>
    </row>
    <row r="2" spans="1:15" x14ac:dyDescent="0.3">
      <c r="A2" s="1">
        <v>5</v>
      </c>
      <c r="B2" s="1">
        <v>1</v>
      </c>
      <c r="C2" s="1">
        <f>SQRT(4*B2/(A2*0.01))</f>
        <v>8.9442719099991592</v>
      </c>
      <c r="D2" s="1">
        <f>(TANH(C2*0.11)/(C2*0.11))*100</f>
        <v>76.710983122816927</v>
      </c>
      <c r="E2" s="1">
        <f>SQRT(B2*0.0314159565*A2*0.00007853982)*151.85*TANH(C2*0.11)</f>
        <v>0.40254563339994165</v>
      </c>
      <c r="F2" s="1">
        <f>E2/(B2*0.0000785398*151.85)</f>
        <v>33.752856479130109</v>
      </c>
      <c r="I2">
        <f xml:space="preserve"> C2*0.11</f>
        <v>0.98386991009990754</v>
      </c>
      <c r="J2">
        <f>2*I2</f>
        <v>1.9677398201998151</v>
      </c>
      <c r="K2">
        <v>1.5433958919842901</v>
      </c>
      <c r="L2">
        <v>0.66033735428609497</v>
      </c>
      <c r="M2">
        <f>3.1415926*(0.005^2)*A2*151.85*I2*L2/(0.11*K2)</f>
        <v>0.22819608719028966</v>
      </c>
      <c r="N2">
        <f>(2*L2/(K2*C2*((0.11^2+0.005^2)^0.5)))*100</f>
        <v>86.88256899619779</v>
      </c>
      <c r="O2">
        <f>A2*C2*L2/(K2*B2)</f>
        <v>19.133901028694719</v>
      </c>
    </row>
    <row r="3" spans="1:15" x14ac:dyDescent="0.3">
      <c r="A3" s="1">
        <v>5</v>
      </c>
      <c r="B3" s="1">
        <v>10</v>
      </c>
      <c r="C3" s="1">
        <f t="shared" ref="C3:C10" si="0">SQRT(4*B3/(A3*0.01))</f>
        <v>28.284271247461902</v>
      </c>
      <c r="D3" s="1">
        <f t="shared" ref="D3:D10" si="1">(TANH(C3*0.11)/(C3*0.11))*100</f>
        <v>32.013920727917395</v>
      </c>
      <c r="E3" s="1">
        <f t="shared" ref="E3:E10" si="2">SQRT(B3*0.0314159565*A3*0.00007853982)*151.85*TANH(C3*0.11)</f>
        <v>1.6799503112093339</v>
      </c>
      <c r="F3" s="1">
        <f t="shared" ref="F3:F10" si="3">E3/(B3*0.0000785398*151.85)</f>
        <v>14.086135096634443</v>
      </c>
      <c r="I3">
        <f t="shared" ref="I3:I10" si="4" xml:space="preserve"> C3*0.11</f>
        <v>3.1112698372208092</v>
      </c>
      <c r="J3">
        <f t="shared" ref="J3:J10" si="5">2*I3</f>
        <v>6.2225396744416184</v>
      </c>
      <c r="K3">
        <v>75.454760632025895</v>
      </c>
      <c r="L3">
        <v>58.150308723126599</v>
      </c>
      <c r="M3">
        <f t="shared" ref="M3:M10" si="6">3.1415926*(0.005^2)*A3*151.85*I3*L3/(0.11*K3)</f>
        <v>1.2998254831818943</v>
      </c>
      <c r="N3">
        <f t="shared" ref="N3:N10" si="7">(2*L3/(K3*C3*((0.11^2+0.005^2)^0.5)))*100</f>
        <v>49.489094495907999</v>
      </c>
      <c r="O3">
        <f t="shared" ref="O3:O10" si="8">A3*C3*L3/(K3*B3)</f>
        <v>10.898842506899905</v>
      </c>
    </row>
    <row r="4" spans="1:15" x14ac:dyDescent="0.3">
      <c r="A4" s="1">
        <v>5</v>
      </c>
      <c r="B4" s="1">
        <v>100</v>
      </c>
      <c r="C4" s="1">
        <f t="shared" si="0"/>
        <v>89.442719099991592</v>
      </c>
      <c r="D4" s="1">
        <f t="shared" si="1"/>
        <v>10.163945294421303</v>
      </c>
      <c r="E4" s="1">
        <f t="shared" si="2"/>
        <v>5.3335932220222295</v>
      </c>
      <c r="F4" s="1">
        <f t="shared" si="3"/>
        <v>4.4721390968888732</v>
      </c>
      <c r="I4">
        <f t="shared" si="4"/>
        <v>9.8386991009990759</v>
      </c>
      <c r="J4">
        <f t="shared" si="5"/>
        <v>19.677398201998152</v>
      </c>
      <c r="K4">
        <v>18441746.229660101</v>
      </c>
      <c r="L4">
        <v>19331670.228039399</v>
      </c>
      <c r="M4">
        <f t="shared" si="6"/>
        <v>5.5909679739062197</v>
      </c>
      <c r="N4">
        <f t="shared" si="7"/>
        <v>21.286853194085325</v>
      </c>
      <c r="O4">
        <f t="shared" si="8"/>
        <v>4.6879431275312227</v>
      </c>
    </row>
    <row r="5" spans="1:15" x14ac:dyDescent="0.3">
      <c r="A5" s="1">
        <v>50</v>
      </c>
      <c r="B5" s="1">
        <v>1</v>
      </c>
      <c r="C5" s="1">
        <f t="shared" si="0"/>
        <v>2.8284271247461903</v>
      </c>
      <c r="D5" s="1">
        <f t="shared" si="1"/>
        <v>96.89355950282534</v>
      </c>
      <c r="E5" s="1">
        <f t="shared" si="2"/>
        <v>0.50845495253258433</v>
      </c>
      <c r="F5" s="1">
        <f t="shared" si="3"/>
        <v>42.633196375737207</v>
      </c>
      <c r="I5">
        <f t="shared" si="4"/>
        <v>0.31112698372208092</v>
      </c>
      <c r="J5">
        <f t="shared" si="5"/>
        <v>0.62225396744416184</v>
      </c>
      <c r="K5">
        <v>0.32643044328987503</v>
      </c>
      <c r="L5">
        <v>4.9980725683296499E-2</v>
      </c>
      <c r="M5">
        <f t="shared" si="6"/>
        <v>0.25824479130206363</v>
      </c>
      <c r="N5">
        <f t="shared" si="7"/>
        <v>98.323206039463557</v>
      </c>
      <c r="O5">
        <f t="shared" si="8"/>
        <v>21.65343998133142</v>
      </c>
    </row>
    <row r="6" spans="1:15" x14ac:dyDescent="0.3">
      <c r="A6" s="1">
        <v>50</v>
      </c>
      <c r="B6" s="1">
        <v>10</v>
      </c>
      <c r="C6" s="1">
        <f t="shared" si="0"/>
        <v>8.9442719099991592</v>
      </c>
      <c r="D6" s="1">
        <f t="shared" si="1"/>
        <v>76.710983122816927</v>
      </c>
      <c r="E6" s="1">
        <f t="shared" si="2"/>
        <v>4.0254563339994167</v>
      </c>
      <c r="F6" s="1">
        <f t="shared" si="3"/>
        <v>33.752856479130109</v>
      </c>
      <c r="I6">
        <f t="shared" si="4"/>
        <v>0.98386991009990754</v>
      </c>
      <c r="J6">
        <f t="shared" si="5"/>
        <v>1.9677398201998151</v>
      </c>
      <c r="K6">
        <v>1.5433958919842901</v>
      </c>
      <c r="L6">
        <v>0.66033735428609497</v>
      </c>
      <c r="M6">
        <f t="shared" si="6"/>
        <v>2.2819608719028963</v>
      </c>
      <c r="N6">
        <f t="shared" si="7"/>
        <v>86.88256899619779</v>
      </c>
      <c r="O6">
        <f t="shared" si="8"/>
        <v>19.133901028694716</v>
      </c>
    </row>
    <row r="7" spans="1:15" x14ac:dyDescent="0.3">
      <c r="A7" s="1">
        <v>50</v>
      </c>
      <c r="B7" s="1">
        <v>100</v>
      </c>
      <c r="C7" s="1">
        <f t="shared" si="0"/>
        <v>28.284271247461902</v>
      </c>
      <c r="D7" s="1">
        <f t="shared" si="1"/>
        <v>32.013920727917395</v>
      </c>
      <c r="E7" s="1">
        <f t="shared" si="2"/>
        <v>16.79950311209334</v>
      </c>
      <c r="F7" s="1">
        <f t="shared" si="3"/>
        <v>14.086135096634447</v>
      </c>
      <c r="I7">
        <f t="shared" si="4"/>
        <v>3.1112698372208092</v>
      </c>
      <c r="J7">
        <f t="shared" si="5"/>
        <v>6.2225396744416184</v>
      </c>
      <c r="K7">
        <v>75.454760632025895</v>
      </c>
      <c r="L7">
        <v>58.150308723126599</v>
      </c>
      <c r="M7">
        <f t="shared" si="6"/>
        <v>12.998254831818942</v>
      </c>
      <c r="N7">
        <f t="shared" si="7"/>
        <v>49.489094495907999</v>
      </c>
      <c r="O7">
        <f t="shared" si="8"/>
        <v>10.898842506899905</v>
      </c>
    </row>
    <row r="8" spans="1:15" x14ac:dyDescent="0.3">
      <c r="A8" s="1">
        <v>500</v>
      </c>
      <c r="B8" s="1">
        <v>1</v>
      </c>
      <c r="C8" s="1">
        <f t="shared" si="0"/>
        <v>0.89442719099991586</v>
      </c>
      <c r="D8" s="1">
        <f t="shared" si="1"/>
        <v>99.678577822660969</v>
      </c>
      <c r="E8" s="1">
        <f t="shared" si="2"/>
        <v>0.52306950859678925</v>
      </c>
      <c r="F8" s="1">
        <f t="shared" si="3"/>
        <v>43.858605304347336</v>
      </c>
      <c r="I8">
        <f t="shared" si="4"/>
        <v>9.8386991009990751E-2</v>
      </c>
      <c r="J8">
        <f t="shared" si="5"/>
        <v>0.1967739820199815</v>
      </c>
      <c r="K8">
        <v>9.8863952914470005E-2</v>
      </c>
      <c r="L8">
        <v>4.8556359745275703E-3</v>
      </c>
      <c r="M8">
        <f t="shared" si="6"/>
        <v>0.26195567859136876</v>
      </c>
      <c r="N8">
        <f t="shared" si="7"/>
        <v>99.736076106255311</v>
      </c>
      <c r="O8">
        <f t="shared" si="8"/>
        <v>21.964592337169126</v>
      </c>
    </row>
    <row r="9" spans="1:15" x14ac:dyDescent="0.3">
      <c r="A9" s="1">
        <v>500</v>
      </c>
      <c r="B9" s="1">
        <v>10</v>
      </c>
      <c r="C9" s="1">
        <f t="shared" si="0"/>
        <v>2.8284271247461903</v>
      </c>
      <c r="D9" s="1">
        <f t="shared" si="1"/>
        <v>96.89355950282534</v>
      </c>
      <c r="E9" s="1">
        <f t="shared" si="2"/>
        <v>5.0845495253258433</v>
      </c>
      <c r="F9" s="1">
        <f t="shared" si="3"/>
        <v>42.633196375737207</v>
      </c>
      <c r="I9">
        <f t="shared" si="4"/>
        <v>0.31112698372208092</v>
      </c>
      <c r="J9">
        <f t="shared" si="5"/>
        <v>0.62225396744416184</v>
      </c>
      <c r="K9">
        <v>0.32643044328987503</v>
      </c>
      <c r="L9">
        <v>4.9980725683296499E-2</v>
      </c>
      <c r="M9">
        <f t="shared" si="6"/>
        <v>2.5824479130206366</v>
      </c>
      <c r="N9">
        <f t="shared" si="7"/>
        <v>98.323206039463557</v>
      </c>
      <c r="O9">
        <f t="shared" si="8"/>
        <v>21.65343998133142</v>
      </c>
    </row>
    <row r="10" spans="1:15" x14ac:dyDescent="0.3">
      <c r="A10" s="1">
        <v>500</v>
      </c>
      <c r="B10" s="1">
        <v>100</v>
      </c>
      <c r="C10" s="1">
        <f t="shared" si="0"/>
        <v>8.9442719099991592</v>
      </c>
      <c r="D10" s="1">
        <f t="shared" si="1"/>
        <v>76.710983122816927</v>
      </c>
      <c r="E10" s="1">
        <f t="shared" si="2"/>
        <v>40.254563339994164</v>
      </c>
      <c r="F10" s="1">
        <f t="shared" si="3"/>
        <v>33.752856479130109</v>
      </c>
      <c r="I10">
        <f t="shared" si="4"/>
        <v>0.98386991009990754</v>
      </c>
      <c r="J10">
        <f t="shared" si="5"/>
        <v>1.9677398201998151</v>
      </c>
      <c r="K10">
        <v>1.5433958919842901</v>
      </c>
      <c r="L10">
        <v>0.66033735428609497</v>
      </c>
      <c r="M10">
        <f t="shared" si="6"/>
        <v>22.819608719028967</v>
      </c>
      <c r="N10">
        <f t="shared" si="7"/>
        <v>86.88256899619779</v>
      </c>
      <c r="O10">
        <f t="shared" si="8"/>
        <v>19.133901028694719</v>
      </c>
    </row>
    <row r="11" spans="1:15" x14ac:dyDescent="0.3">
      <c r="A11" s="1"/>
      <c r="B11" s="1"/>
      <c r="C11" s="1"/>
      <c r="D11" s="1"/>
      <c r="E11" s="1"/>
    </row>
    <row r="12" spans="1:15" x14ac:dyDescent="0.3">
      <c r="A12" s="1"/>
      <c r="B12" s="1"/>
      <c r="C12" s="1"/>
      <c r="D12" s="1"/>
      <c r="E12" s="1"/>
    </row>
    <row r="13" spans="1:15" x14ac:dyDescent="0.3">
      <c r="A13" s="1"/>
      <c r="B13" s="1"/>
      <c r="C13" s="1"/>
      <c r="D13" s="1"/>
      <c r="E13" s="1"/>
    </row>
    <row r="14" spans="1:15" x14ac:dyDescent="0.3">
      <c r="A14" s="1" t="s">
        <v>5</v>
      </c>
      <c r="B14" s="1" t="s">
        <v>6</v>
      </c>
      <c r="C14" s="1" t="s">
        <v>8</v>
      </c>
      <c r="D14" s="1" t="s">
        <v>9</v>
      </c>
      <c r="E14" s="1"/>
    </row>
    <row r="15" spans="1:15" x14ac:dyDescent="0.3">
      <c r="A15" s="1">
        <v>3.1415956539999998E-2</v>
      </c>
      <c r="B15" s="1">
        <v>7.8539815999999993E-5</v>
      </c>
      <c r="C15" s="1">
        <v>0.11</v>
      </c>
      <c r="D15" s="1">
        <v>0.01</v>
      </c>
      <c r="E15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Amirreza Javanmardi</dc:creator>
  <cp:lastModifiedBy>Amirreza Javanmardi</cp:lastModifiedBy>
  <dcterms:created xsi:type="dcterms:W3CDTF">2015-06-05T18:17:20Z</dcterms:created>
  <dcterms:modified xsi:type="dcterms:W3CDTF">2026-06-08T10:40:34Z</dcterms:modified>
</cp:coreProperties>
</file>